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9ee47d7ed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Data" sheetId="1" r:id="Ref8c834295354d7c"/>
    <x:sheet xmlns:r="http://schemas.openxmlformats.org/officeDocument/2006/relationships" name="Cuisine Targets" sheetId="2" r:id="Rfcb0a3dd2aac40f4"/>
    <x:sheet xmlns:r="http://schemas.openxmlformats.org/officeDocument/2006/relationships" name="Pivot Table" sheetId="3" r:id="R04b84b7f48b8415c"/>
    <x:sheet xmlns:r="http://schemas.openxmlformats.org/officeDocument/2006/relationships" name="Cuisine Summary" sheetId="4" r:id="R4e05157ad1cd489b"/>
    <x:sheet xmlns:r="http://schemas.openxmlformats.org/officeDocument/2006/relationships" name="Instructions" sheetId="5" r:id="R44cd3601fa5d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₹#,##0"/>
    <x:numFmt numFmtId="201" formatCode="₹#,##0.00"/>
    <x:numFmt numFmtId="202" formatCode="0"/>
    <x:numFmt numFmtId="203" formatCode="0.00&quot;%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46B45"/>
      </x:patternFill>
    </x:fill>
    <x:fill>
      <x:patternFill patternType="solid">
        <x:fgColor rgb="FF0B6E4F"/>
      </x:patternFill>
    </x:fill>
    <x:fill>
      <x:patternFill patternType="solid">
        <x:fgColor rgb="FF2D5B73"/>
      </x:patternFill>
    </x:fill>
    <x:fill>
      <x:patternFill patternType="solid">
        <x:fgColor rgb="FFEDEDED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2" fillId="5" borderId="0" xfId="0" applyNumberFormat="1" applyFont="1" applyFill="1" applyBorder="1"/>
    <x:xf numFmtId="200" fontId="2" fillId="5" borderId="1" xfId="0" applyNumberFormat="1" applyFont="1" applyFill="1" applyBorder="1"/>
    <x:xf numFmtId="202" fontId="2" fillId="5" borderId="0" xfId="0" applyNumberFormat="1" applyFont="1" applyFill="1" applyBorder="1"/>
    <x:xf numFmtId="202" fontId="2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a8918b6314503" /><Relationship Type="http://schemas.openxmlformats.org/officeDocument/2006/relationships/theme" Target="/xl/theme/theme1.xml" Id="R71a99c00099d45ac" /><Relationship Type="http://schemas.openxmlformats.org/officeDocument/2006/relationships/sharedStrings" Target="/xl/sharedStrings.xml" Id="R3e69066e8ece4b97" /><Relationship Type="http://schemas.openxmlformats.org/officeDocument/2006/relationships/worksheet" Target="/xl/worksheets/sheet1.xml" Id="Ref8c834295354d7c" /><Relationship Type="http://schemas.openxmlformats.org/officeDocument/2006/relationships/worksheet" Target="/xl/worksheets/sheet2.xml" Id="Rfcb0a3dd2aac40f4" /><Relationship Type="http://schemas.openxmlformats.org/officeDocument/2006/relationships/worksheet" Target="/xl/worksheets/sheet3.xml" Id="R04b84b7f48b8415c" /><Relationship Type="http://schemas.openxmlformats.org/officeDocument/2006/relationships/worksheet" Target="/xl/worksheets/sheet4.xml" Id="R4e05157ad1cd489b" /><Relationship Type="http://schemas.openxmlformats.org/officeDocument/2006/relationships/worksheet" Target="/xl/worksheets/sheet5.xml" Id="R44cd3601fa5d4e23" /></Relationships>
</file>

<file path=xl/tables/table1.xml><?xml version="1.0" encoding="utf-8"?>
<x:table xmlns:x="http://schemas.openxmlformats.org/spreadsheetml/2006/main" id="1" name="MonthlyDataTable" displayName="MonthlyDataTable" ref="A1:E35" headerRowCount="1" totalsRowCount="0" totalsRowShown="0">
  <x:tableColumns count="5">
    <x:tableColumn id="1" name="cuisine"/>
    <x:tableColumn id="2" name="month"/>
    <x:tableColumn id="3" name="order_count"/>
    <x:tableColumn id="4" name="total_revenue"/>
    <x:tableColumn id="5" name="avg_reven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isineTargetsTable" displayName="CuisineTargetsTable" ref="A1:B7" headerRowCount="1" totalsRowCount="0" totalsRowShown="0">
  <x:tableColumns count="2">
    <x:tableColumn id="1" name="cuisine"/>
    <x:tableColumn id="2" name="target_revenue_in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enuePivotTable" displayName="RevenuePivotTable" ref="A1:C8" headerRowCount="1" totalsRowCount="0" totalsRowShown="0">
  <x:tableColumns count="3">
    <x:tableColumn id="1" name="Cuisine"/>
    <x:tableColumn id="2" name="SUM total_revenue"/>
    <x:tableColumn id="3" name="SUM order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isineSummaryTable" displayName="CuisineSummaryTable" ref="A1:G7" headerRowCount="1" totalsRowCount="0" totalsRowShown="0">
  <x:tableColumns count="7">
    <x:tableColumn id="1" name="cuisine"/>
    <x:tableColumn id="2" name="total_revenue"/>
    <x:tableColumn id="3" name="target_revenue_inr"/>
    <x:tableColumn id="4" name="variance"/>
    <x:tableColumn id="5" name="percentage_variance"/>
    <x:tableColumn id="6" name="target_status"/>
    <x:tableColumn id="7" name="Matches Part A SQL total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2a213c659e4d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37700fe13145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da8b398b3d4d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0e8c8269c8a4f7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</x:cols>
  <x:sheetData>
    <x:row r="1">
      <x:c r="A1" s="14" t="str">
        <x:v>cuisine</x:v>
      </x:c>
      <x:c r="B1" s="14" t="str">
        <x:v>month</x:v>
      </x:c>
      <x:c r="C1" s="14" t="str">
        <x:v>order_count</x:v>
      </x:c>
      <x:c r="D1" s="14" t="str">
        <x:v>total_revenue</x:v>
      </x:c>
      <x:c r="E1" s="14" t="str">
        <x:v>avg_revenue</x:v>
      </x:c>
    </x:row>
    <x:row r="2">
      <x:c r="A2" s="15" t="str">
        <x:v>Chinese</x:v>
      </x:c>
      <x:c r="B2" s="15" t="str">
        <x:v>2026-01</x:v>
      </x:c>
      <x:c r="C2" s="16" t="n">
        <x:v>16</x:v>
      </x:c>
      <x:c r="D2" s="17" t="n">
        <x:v>24583</x:v>
      </x:c>
      <x:c r="E2" s="18" t="n">
        <x:v>1536.4375</x:v>
      </x:c>
    </x:row>
    <x:row r="3">
      <x:c r="A3" s="15" t="str">
        <x:v>Chinese</x:v>
      </x:c>
      <x:c r="B3" s="15" t="str">
        <x:v>2026-02</x:v>
      </x:c>
      <x:c r="C3" s="16" t="n">
        <x:v>16</x:v>
      </x:c>
      <x:c r="D3" s="17" t="n">
        <x:v>20381</x:v>
      </x:c>
      <x:c r="E3" s="18" t="n">
        <x:v>1273.8125</x:v>
      </x:c>
    </x:row>
    <x:row r="4">
      <x:c r="A4" s="15" t="str">
        <x:v>Chinese</x:v>
      </x:c>
      <x:c r="B4" s="15" t="str">
        <x:v>2026-03</x:v>
      </x:c>
      <x:c r="C4" s="16" t="n">
        <x:v>16</x:v>
      </x:c>
      <x:c r="D4" s="17" t="n">
        <x:v>20273</x:v>
      </x:c>
      <x:c r="E4" s="18" t="n">
        <x:v>1267.0625</x:v>
      </x:c>
    </x:row>
    <x:row r="5">
      <x:c r="A5" s="15" t="str">
        <x:v>Chinese</x:v>
      </x:c>
      <x:c r="B5" s="15" t="str">
        <x:v>2026-04</x:v>
      </x:c>
      <x:c r="C5" s="16" t="n">
        <x:v>15</x:v>
      </x:c>
      <x:c r="D5" s="17" t="n">
        <x:v>18695</x:v>
      </x:c>
      <x:c r="E5" s="18" t="n">
        <x:v>1246.3333333333333</x:v>
      </x:c>
    </x:row>
    <x:row r="6">
      <x:c r="A6" s="15" t="str">
        <x:v>Chinese</x:v>
      </x:c>
      <x:c r="B6" s="15" t="str">
        <x:v>2026-05</x:v>
      </x:c>
      <x:c r="C6" s="16" t="n">
        <x:v>10</x:v>
      </x:c>
      <x:c r="D6" s="17" t="n">
        <x:v>14677</x:v>
      </x:c>
      <x:c r="E6" s="18" t="n">
        <x:v>1467.7</x:v>
      </x:c>
    </x:row>
    <x:row r="7">
      <x:c r="A7" s="15" t="str">
        <x:v>Chinese</x:v>
      </x:c>
      <x:c r="B7" s="15" t="str">
        <x:v>2026-06</x:v>
      </x:c>
      <x:c r="C7" s="16" t="n">
        <x:v>18</x:v>
      </x:c>
      <x:c r="D7" s="17" t="n">
        <x:v>29231</x:v>
      </x:c>
      <x:c r="E7" s="18" t="n">
        <x:v>1623.9444444444443</x:v>
      </x:c>
    </x:row>
    <x:row r="8">
      <x:c r="A8" s="15" t="str">
        <x:v>Desserts</x:v>
      </x:c>
      <x:c r="B8" s="15" t="str">
        <x:v>2026-01</x:v>
      </x:c>
      <x:c r="C8" s="16" t="n">
        <x:v>3</x:v>
      </x:c>
      <x:c r="D8" s="17" t="n">
        <x:v>5706</x:v>
      </x:c>
      <x:c r="E8" s="18" t="n">
        <x:v>1902</x:v>
      </x:c>
    </x:row>
    <x:row r="9">
      <x:c r="A9" s="15" t="str">
        <x:v>Desserts</x:v>
      </x:c>
      <x:c r="B9" s="15" t="str">
        <x:v>2026-02</x:v>
      </x:c>
      <x:c r="C9" s="16" t="n">
        <x:v>3</x:v>
      </x:c>
      <x:c r="D9" s="17" t="n">
        <x:v>3953</x:v>
      </x:c>
      <x:c r="E9" s="18" t="n">
        <x:v>1317.6666666666667</x:v>
      </x:c>
    </x:row>
    <x:row r="10">
      <x:c r="A10" s="15" t="str">
        <x:v>Desserts</x:v>
      </x:c>
      <x:c r="B10" s="15" t="str">
        <x:v>2026-03</x:v>
      </x:c>
      <x:c r="C10" s="16" t="n">
        <x:v>2</x:v>
      </x:c>
      <x:c r="D10" s="17" t="n">
        <x:v>2809</x:v>
      </x:c>
      <x:c r="E10" s="18" t="n">
        <x:v>1404.5</x:v>
      </x:c>
    </x:row>
    <x:row r="11">
      <x:c r="A11" s="15" t="str">
        <x:v>Desserts</x:v>
      </x:c>
      <x:c r="B11" s="15" t="str">
        <x:v>2026-05</x:v>
      </x:c>
      <x:c r="C11" s="16" t="n">
        <x:v>4</x:v>
      </x:c>
      <x:c r="D11" s="17" t="n">
        <x:v>5633</x:v>
      </x:c>
      <x:c r="E11" s="18" t="n">
        <x:v>1408.25</x:v>
      </x:c>
    </x:row>
    <x:row r="12">
      <x:c r="A12" s="15" t="str">
        <x:v>Desserts</x:v>
      </x:c>
      <x:c r="B12" s="15" t="str">
        <x:v>2026-06</x:v>
      </x:c>
      <x:c r="C12" s="16" t="n">
        <x:v>1</x:v>
      </x:c>
      <x:c r="D12" s="17" t="n">
        <x:v>1593</x:v>
      </x:c>
      <x:c r="E12" s="18" t="n">
        <x:v>1593</x:v>
      </x:c>
    </x:row>
    <x:row r="13">
      <x:c r="A13" s="15" t="str">
        <x:v>Fast Food</x:v>
      </x:c>
      <x:c r="B13" s="15" t="str">
        <x:v>2026-01</x:v>
      </x:c>
      <x:c r="C13" s="16" t="n">
        <x:v>10</x:v>
      </x:c>
      <x:c r="D13" s="17" t="n">
        <x:v>10499</x:v>
      </x:c>
      <x:c r="E13" s="18" t="n">
        <x:v>1049.9</x:v>
      </x:c>
    </x:row>
    <x:row r="14">
      <x:c r="A14" s="15" t="str">
        <x:v>Fast Food</x:v>
      </x:c>
      <x:c r="B14" s="15" t="str">
        <x:v>2026-02</x:v>
      </x:c>
      <x:c r="C14" s="16" t="n">
        <x:v>5</x:v>
      </x:c>
      <x:c r="D14" s="17" t="n">
        <x:v>6277</x:v>
      </x:c>
      <x:c r="E14" s="18" t="n">
        <x:v>1255.4</x:v>
      </x:c>
    </x:row>
    <x:row r="15">
      <x:c r="A15" s="15" t="str">
        <x:v>Fast Food</x:v>
      </x:c>
      <x:c r="B15" s="15" t="str">
        <x:v>2026-03</x:v>
      </x:c>
      <x:c r="C15" s="16" t="n">
        <x:v>9</x:v>
      </x:c>
      <x:c r="D15" s="17" t="n">
        <x:v>10495</x:v>
      </x:c>
      <x:c r="E15" s="18" t="n">
        <x:v>1166.111111111111</x:v>
      </x:c>
    </x:row>
    <x:row r="16">
      <x:c r="A16" s="15" t="str">
        <x:v>Fast Food</x:v>
      </x:c>
      <x:c r="B16" s="15" t="str">
        <x:v>2026-04</x:v>
      </x:c>
      <x:c r="C16" s="16" t="n">
        <x:v>8</x:v>
      </x:c>
      <x:c r="D16" s="17" t="n">
        <x:v>14644</x:v>
      </x:c>
      <x:c r="E16" s="18" t="n">
        <x:v>1830.5</x:v>
      </x:c>
    </x:row>
    <x:row r="17">
      <x:c r="A17" s="15" t="str">
        <x:v>Fast Food</x:v>
      </x:c>
      <x:c r="B17" s="15" t="str">
        <x:v>2026-05</x:v>
      </x:c>
      <x:c r="C17" s="16" t="n">
        <x:v>6</x:v>
      </x:c>
      <x:c r="D17" s="17" t="n">
        <x:v>8546</x:v>
      </x:c>
      <x:c r="E17" s="18" t="n">
        <x:v>1424.3333333333333</x:v>
      </x:c>
    </x:row>
    <x:row r="18">
      <x:c r="A18" s="15" t="str">
        <x:v>Fast Food</x:v>
      </x:c>
      <x:c r="B18" s="15" t="str">
        <x:v>2026-06</x:v>
      </x:c>
      <x:c r="C18" s="16" t="n">
        <x:v>4</x:v>
      </x:c>
      <x:c r="D18" s="17" t="n">
        <x:v>4662</x:v>
      </x:c>
      <x:c r="E18" s="18" t="n">
        <x:v>1165.5</x:v>
      </x:c>
    </x:row>
    <x:row r="19">
      <x:c r="A19" s="15" t="str">
        <x:v>Italian</x:v>
      </x:c>
      <x:c r="B19" s="15" t="str">
        <x:v>2026-01</x:v>
      </x:c>
      <x:c r="C19" s="16" t="n">
        <x:v>1</x:v>
      </x:c>
      <x:c r="D19" s="17" t="n">
        <x:v>1716</x:v>
      </x:c>
      <x:c r="E19" s="18" t="n">
        <x:v>1716</x:v>
      </x:c>
    </x:row>
    <x:row r="20">
      <x:c r="A20" s="15" t="str">
        <x:v>Italian</x:v>
      </x:c>
      <x:c r="B20" s="15" t="str">
        <x:v>2026-02</x:v>
      </x:c>
      <x:c r="C20" s="16" t="n">
        <x:v>1</x:v>
      </x:c>
      <x:c r="D20" s="17" t="n">
        <x:v>1142</x:v>
      </x:c>
      <x:c r="E20" s="18" t="n">
        <x:v>1142</x:v>
      </x:c>
    </x:row>
    <x:row r="21">
      <x:c r="A21" s="15" t="str">
        <x:v>Italian</x:v>
      </x:c>
      <x:c r="B21" s="15" t="str">
        <x:v>2026-04</x:v>
      </x:c>
      <x:c r="C21" s="16" t="n">
        <x:v>5</x:v>
      </x:c>
      <x:c r="D21" s="17" t="n">
        <x:v>4510</x:v>
      </x:c>
      <x:c r="E21" s="18" t="n">
        <x:v>902</x:v>
      </x:c>
    </x:row>
    <x:row r="22">
      <x:c r="A22" s="15" t="str">
        <x:v>Italian</x:v>
      </x:c>
      <x:c r="B22" s="15" t="str">
        <x:v>2026-05</x:v>
      </x:c>
      <x:c r="C22" s="16" t="n">
        <x:v>1</x:v>
      </x:c>
      <x:c r="D22" s="17" t="n">
        <x:v>1455</x:v>
      </x:c>
      <x:c r="E22" s="18" t="n">
        <x:v>1455</x:v>
      </x:c>
    </x:row>
    <x:row r="23">
      <x:c r="A23" s="15" t="str">
        <x:v>Italian</x:v>
      </x:c>
      <x:c r="B23" s="15" t="str">
        <x:v>2026-06</x:v>
      </x:c>
      <x:c r="C23" s="16" t="n">
        <x:v>3</x:v>
      </x:c>
      <x:c r="D23" s="17" t="n">
        <x:v>5912</x:v>
      </x:c>
      <x:c r="E23" s="18" t="n">
        <x:v>1970.6666666666667</x:v>
      </x:c>
    </x:row>
    <x:row r="24">
      <x:c r="A24" s="15" t="str">
        <x:v>North Indian</x:v>
      </x:c>
      <x:c r="B24" s="15" t="str">
        <x:v>2026-01</x:v>
      </x:c>
      <x:c r="C24" s="16" t="n">
        <x:v>25</x:v>
      </x:c>
      <x:c r="D24" s="17" t="n">
        <x:v>37468</x:v>
      </x:c>
      <x:c r="E24" s="18" t="n">
        <x:v>1498.72</x:v>
      </x:c>
    </x:row>
    <x:row r="25">
      <x:c r="A25" s="15" t="str">
        <x:v>North Indian</x:v>
      </x:c>
      <x:c r="B25" s="15" t="str">
        <x:v>2026-02</x:v>
      </x:c>
      <x:c r="C25" s="16" t="n">
        <x:v>26</x:v>
      </x:c>
      <x:c r="D25" s="17" t="n">
        <x:v>38819</x:v>
      </x:c>
      <x:c r="E25" s="18" t="n">
        <x:v>1493.0384615384614</x:v>
      </x:c>
    </x:row>
    <x:row r="26">
      <x:c r="A26" s="15" t="str">
        <x:v>North Indian</x:v>
      </x:c>
      <x:c r="B26" s="15" t="str">
        <x:v>2026-03</x:v>
      </x:c>
      <x:c r="C26" s="16" t="n">
        <x:v>25</x:v>
      </x:c>
      <x:c r="D26" s="17" t="n">
        <x:v>25803</x:v>
      </x:c>
      <x:c r="E26" s="18" t="n">
        <x:v>1032.12</x:v>
      </x:c>
    </x:row>
    <x:row r="27">
      <x:c r="A27" s="15" t="str">
        <x:v>North Indian</x:v>
      </x:c>
      <x:c r="B27" s="15" t="str">
        <x:v>2026-04</x:v>
      </x:c>
      <x:c r="C27" s="16" t="n">
        <x:v>27</x:v>
      </x:c>
      <x:c r="D27" s="17" t="n">
        <x:v>39368</x:v>
      </x:c>
      <x:c r="E27" s="18" t="n">
        <x:v>1458.0740740740741</x:v>
      </x:c>
    </x:row>
    <x:row r="28">
      <x:c r="A28" s="15" t="str">
        <x:v>North Indian</x:v>
      </x:c>
      <x:c r="B28" s="15" t="str">
        <x:v>2026-05</x:v>
      </x:c>
      <x:c r="C28" s="16" t="n">
        <x:v>24</x:v>
      </x:c>
      <x:c r="D28" s="17" t="n">
        <x:v>33707</x:v>
      </x:c>
      <x:c r="E28" s="18" t="n">
        <x:v>1404.4583333333333</x:v>
      </x:c>
    </x:row>
    <x:row r="29">
      <x:c r="A29" s="15" t="str">
        <x:v>North Indian</x:v>
      </x:c>
      <x:c r="B29" s="15" t="str">
        <x:v>2026-06</x:v>
      </x:c>
      <x:c r="C29" s="16" t="n">
        <x:v>27</x:v>
      </x:c>
      <x:c r="D29" s="17" t="n">
        <x:v>41132</x:v>
      </x:c>
      <x:c r="E29" s="18" t="n">
        <x:v>1523.4074074074074</x:v>
      </x:c>
    </x:row>
    <x:row r="30">
      <x:c r="A30" s="15" t="str">
        <x:v>South Indian</x:v>
      </x:c>
      <x:c r="B30" s="15" t="str">
        <x:v>2026-01</x:v>
      </x:c>
      <x:c r="C30" s="16" t="n">
        <x:v>3</x:v>
      </x:c>
      <x:c r="D30" s="17" t="n">
        <x:v>3339</x:v>
      </x:c>
      <x:c r="E30" s="18" t="n">
        <x:v>1113</x:v>
      </x:c>
    </x:row>
    <x:row r="31">
      <x:c r="A31" s="15" t="str">
        <x:v>South Indian</x:v>
      </x:c>
      <x:c r="B31" s="15" t="str">
        <x:v>2026-02</x:v>
      </x:c>
      <x:c r="C31" s="16" t="n">
        <x:v>9</x:v>
      </x:c>
      <x:c r="D31" s="17" t="n">
        <x:v>11754</x:v>
      </x:c>
      <x:c r="E31" s="18" t="n">
        <x:v>1306</x:v>
      </x:c>
    </x:row>
    <x:row r="32">
      <x:c r="A32" s="15" t="str">
        <x:v>South Indian</x:v>
      </x:c>
      <x:c r="B32" s="15" t="str">
        <x:v>2026-03</x:v>
      </x:c>
      <x:c r="C32" s="16" t="n">
        <x:v>10</x:v>
      </x:c>
      <x:c r="D32" s="17" t="n">
        <x:v>14818</x:v>
      </x:c>
      <x:c r="E32" s="18" t="n">
        <x:v>1481.8</x:v>
      </x:c>
    </x:row>
    <x:row r="33">
      <x:c r="A33" s="15" t="str">
        <x:v>South Indian</x:v>
      </x:c>
      <x:c r="B33" s="15" t="str">
        <x:v>2026-04</x:v>
      </x:c>
      <x:c r="C33" s="16" t="n">
        <x:v>8</x:v>
      </x:c>
      <x:c r="D33" s="17" t="n">
        <x:v>10542</x:v>
      </x:c>
      <x:c r="E33" s="18" t="n">
        <x:v>1317.75</x:v>
      </x:c>
    </x:row>
    <x:row r="34">
      <x:c r="A34" s="15" t="str">
        <x:v>South Indian</x:v>
      </x:c>
      <x:c r="B34" s="15" t="str">
        <x:v>2026-05</x:v>
      </x:c>
      <x:c r="C34" s="16" t="n">
        <x:v>7</x:v>
      </x:c>
      <x:c r="D34" s="17" t="n">
        <x:v>10130</x:v>
      </x:c>
      <x:c r="E34" s="18" t="n">
        <x:v>1447.142857142857</x:v>
      </x:c>
    </x:row>
    <x:row r="35">
      <x:c r="A35" s="15" t="str">
        <x:v>South Indian</x:v>
      </x:c>
      <x:c r="B35" s="15" t="str">
        <x:v>2026-06</x:v>
      </x:c>
      <x:c r="C35" s="16" t="n">
        <x:v>10</x:v>
      </x:c>
      <x:c r="D35" s="17" t="n">
        <x:v>12834</x:v>
      </x:c>
      <x:c r="E35" s="18" t="n">
        <x:v>1283.4</x:v>
      </x:c>
    </x:row>
  </x:sheetData>
  <x:pageMargins left="0.7" right="0.7" top="0.75" bottom="0.75" header="0.3" footer="0.3"/>
  <x:tableParts count="1">
    <x:tablePart xmlns:r="http://schemas.openxmlformats.org/officeDocument/2006/relationships" r:id="R042a213c659e4d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25" t="str">
        <x:v>cuisine</x:v>
      </x:c>
      <x:c r="B1" s="25" t="str">
        <x:v>target_revenue_inr</x:v>
      </x:c>
    </x:row>
    <x:row r="2">
      <x:c r="A2" t="str">
        <x:v>North Indian</x:v>
      </x:c>
      <x:c r="B2" s="8" t="n">
        <x:v>180000</x:v>
      </x:c>
    </x:row>
    <x:row r="3">
      <x:c r="A3" t="str">
        <x:v>Chinese</x:v>
      </x:c>
      <x:c r="B3" s="8" t="n">
        <x:v>140000</x:v>
      </x:c>
    </x:row>
    <x:row r="4">
      <x:c r="A4" t="str">
        <x:v>South Indian</x:v>
      </x:c>
      <x:c r="B4" s="8" t="n">
        <x:v>50000</x:v>
      </x:c>
    </x:row>
    <x:row r="5">
      <x:c r="A5" t="str">
        <x:v>Fast Food</x:v>
      </x:c>
      <x:c r="B5" s="8" t="n">
        <x:v>60000</x:v>
      </x:c>
    </x:row>
    <x:row r="6">
      <x:c r="A6" t="str">
        <x:v>Desserts</x:v>
      </x:c>
      <x:c r="B6" s="8" t="n">
        <x:v>25000</x:v>
      </x:c>
    </x:row>
    <x:row r="7">
      <x:c r="A7" t="str">
        <x:v>Italian</x:v>
      </x:c>
      <x:c r="B7" s="8" t="n">
        <x:v>10000</x:v>
      </x:c>
    </x:row>
  </x:sheetData>
  <x:pageMargins left="0.7" right="0.7" top="0.75" bottom="0.75" header="0.3" footer="0.3"/>
  <x:tableParts count="1">
    <x:tablePart xmlns:r="http://schemas.openxmlformats.org/officeDocument/2006/relationships" r:id="R7b37700fe13145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29" t="str">
        <x:v>Cuisine</x:v>
      </x:c>
      <x:c r="B1" s="29" t="str">
        <x:v>SUM total_revenue</x:v>
      </x:c>
      <x:c r="C1" s="29" t="str">
        <x:v>SUM order_count</x:v>
      </x:c>
    </x:row>
    <x:row r="2">
      <x:c r="A2" t="str">
        <x:v>North Indian</x:v>
      </x:c>
      <x:c r="B2" s="8" t="n">
        <x:f>SUMIF('Monthly Data'!$A$2:$A$35,A2,'Monthly Data'!$D$2:$D$35)</x:f>
        <x:v>216297</x:v>
      </x:c>
      <x:c r="C2" s="12" t="n">
        <x:f>SUMIF('Monthly Data'!$A$2:$A$35,A2,'Monthly Data'!$C$2:$C$35)</x:f>
        <x:v>154</x:v>
      </x:c>
    </x:row>
    <x:row r="3">
      <x:c r="A3" t="str">
        <x:v>South Indian</x:v>
      </x:c>
      <x:c r="B3" s="8" t="n">
        <x:f>SUMIF('Monthly Data'!$A$2:$A$35,A3,'Monthly Data'!$D$2:$D$35)</x:f>
        <x:v>63417</x:v>
      </x:c>
      <x:c r="C3" s="12" t="n">
        <x:f>SUMIF('Monthly Data'!$A$2:$A$35,A3,'Monthly Data'!$C$2:$C$35)</x:f>
        <x:v>47</x:v>
      </x:c>
    </x:row>
    <x:row r="4">
      <x:c r="A4" t="str">
        <x:v>Chinese</x:v>
      </x:c>
      <x:c r="B4" s="8" t="n">
        <x:f>SUMIF('Monthly Data'!$A$2:$A$35,A4,'Monthly Data'!$D$2:$D$35)</x:f>
        <x:v>127840</x:v>
      </x:c>
      <x:c r="C4" s="12" t="n">
        <x:f>SUMIF('Monthly Data'!$A$2:$A$35,A4,'Monthly Data'!$C$2:$C$35)</x:f>
        <x:v>91</x:v>
      </x:c>
    </x:row>
    <x:row r="5">
      <x:c r="A5" t="str">
        <x:v>Italian</x:v>
      </x:c>
      <x:c r="B5" s="8" t="n">
        <x:f>SUMIF('Monthly Data'!$A$2:$A$35,A5,'Monthly Data'!$D$2:$D$35)</x:f>
        <x:v>14735</x:v>
      </x:c>
      <x:c r="C5" s="12" t="n">
        <x:f>SUMIF('Monthly Data'!$A$2:$A$35,A5,'Monthly Data'!$C$2:$C$35)</x:f>
        <x:v>11</x:v>
      </x:c>
    </x:row>
    <x:row r="6">
      <x:c r="A6" t="str">
        <x:v>Fast Food</x:v>
      </x:c>
      <x:c r="B6" s="8" t="n">
        <x:f>SUMIF('Monthly Data'!$A$2:$A$35,A6,'Monthly Data'!$D$2:$D$35)</x:f>
        <x:v>55123</x:v>
      </x:c>
      <x:c r="C6" s="12" t="n">
        <x:f>SUMIF('Monthly Data'!$A$2:$A$35,A6,'Monthly Data'!$C$2:$C$35)</x:f>
        <x:v>42</x:v>
      </x:c>
    </x:row>
    <x:row r="7">
      <x:c r="A7" t="str">
        <x:v>Desserts</x:v>
      </x:c>
      <x:c r="B7" s="8" t="n">
        <x:f>SUMIF('Monthly Data'!$A$2:$A$35,A7,'Monthly Data'!$D$2:$D$35)</x:f>
        <x:v>19694</x:v>
      </x:c>
      <x:c r="C7" s="12" t="n">
        <x:f>SUMIF('Monthly Data'!$A$2:$A$35,A7,'Monthly Data'!$C$2:$C$35)</x:f>
        <x:v>13</x:v>
      </x:c>
    </x:row>
    <x:row r="8">
      <x:c r="A8" s="33" t="str">
        <x:v>Grand Total</x:v>
      </x:c>
      <x:c r="B8" s="36" t="n">
        <x:f>SUM(B2:B7)</x:f>
        <x:v>497106</x:v>
      </x:c>
      <x:c r="C8" s="38" t="n">
        <x:f>SUM(C2:C7)</x:f>
        <x:v>358</x:v>
      </x:c>
    </x:row>
  </x:sheetData>
  <x:pageMargins left="0.7" right="0.7" top="0.75" bottom="0.75" header="0.3" footer="0.3"/>
  <x:tableParts count="1">
    <x:tablePart xmlns:r="http://schemas.openxmlformats.org/officeDocument/2006/relationships" r:id="R1fda8b398b3d4d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6" hidden="0" customWidth="1"/>
    <x:col min="5" max="5" width="18" hidden="0" customWidth="1"/>
    <x:col min="6" max="6" width="28" hidden="0" customWidth="1"/>
    <x:col min="7" max="7" width="24" hidden="0" customWidth="1"/>
  </x:cols>
  <x:sheetData>
    <x:row r="1">
      <x:c r="A1" s="40" t="str">
        <x:v>cuisine</x:v>
      </x:c>
      <x:c r="B1" s="40" t="str">
        <x:v>total_revenue</x:v>
      </x:c>
      <x:c r="C1" s="40" t="str">
        <x:v>target_revenue_inr</x:v>
      </x:c>
      <x:c r="D1" s="40" t="str">
        <x:v>variance</x:v>
      </x:c>
      <x:c r="E1" s="40" t="str">
        <x:v>percentage_variance</x:v>
      </x:c>
      <x:c r="F1" s="40" t="str">
        <x:v>target_status</x:v>
      </x:c>
      <x:c r="G1" s="40" t="str">
        <x:v>Matches Part A SQL total?</x:v>
      </x:c>
    </x:row>
    <x:row r="2">
      <x:c r="A2" t="str">
        <x:v>North Indian</x:v>
      </x:c>
      <x:c r="B2" s="8" t="n">
        <x:f>'Pivot Table'!B2</x:f>
        <x:v>216297</x:v>
      </x:c>
      <x:c r="C2" s="8" t="n">
        <x:f>VLOOKUP(A2,'Cuisine Targets'!$A$2:$B$7,2,FALSE)</x:f>
        <x:v>180000</x:v>
      </x:c>
      <x:c r="D2" s="8" t="n">
        <x:f>C2-B2</x:f>
        <x:v>-36297</x:v>
      </x:c>
      <x:c r="E2" s="42" t="n">
        <x:f>((B2-C2)/C2)*100</x:f>
        <x:v>20.165</x:v>
      </x:c>
      <x:c r="F2" t="str">
        <x:f>IF(B2&gt;=C2,"Above Target",IF((C2-B2)&lt;=C2*15%,"Below Target - Watch","Below Target - Critical"))</x:f>
        <x:v>Above Target</x:v>
      </x:c>
      <x:c r="G2" s="44" t="str">
        <x:v>Yes</x:v>
      </x:c>
    </x:row>
    <x:row r="3">
      <x:c r="A3" t="str">
        <x:v>South Indian</x:v>
      </x:c>
      <x:c r="B3" s="8" t="n">
        <x:f>'Pivot Table'!B3</x:f>
        <x:v>63417</x:v>
      </x:c>
      <x:c r="C3" s="8" t="n">
        <x:f>VLOOKUP(A3,'Cuisine Targets'!$A$2:$B$7,2,FALSE)</x:f>
        <x:v>50000</x:v>
      </x:c>
      <x:c r="D3" s="8" t="n">
        <x:f>C3-B3</x:f>
        <x:v>-13417</x:v>
      </x:c>
      <x:c r="E3" s="42" t="n">
        <x:f>((B3-C3)/C3)*100</x:f>
        <x:v>26.834000000000003</x:v>
      </x:c>
      <x:c r="F3" t="str">
        <x:f>IF(B3&gt;=C3,"Above Target",IF((C3-B3)&lt;=C3*15%,"Below Target - Watch","Below Target - Critical"))</x:f>
        <x:v>Above Target</x:v>
      </x:c>
      <x:c r="G3" s="44" t="str">
        <x:v>Yes</x:v>
      </x:c>
    </x:row>
    <x:row r="4">
      <x:c r="A4" t="str">
        <x:v>Chinese</x:v>
      </x:c>
      <x:c r="B4" s="8" t="n">
        <x:f>'Pivot Table'!B4</x:f>
        <x:v>127840</x:v>
      </x:c>
      <x:c r="C4" s="8" t="n">
        <x:f>VLOOKUP(A4,'Cuisine Targets'!$A$2:$B$7,2,FALSE)</x:f>
        <x:v>140000</x:v>
      </x:c>
      <x:c r="D4" s="8" t="n">
        <x:f>C4-B4</x:f>
        <x:v>12160</x:v>
      </x:c>
      <x:c r="E4" s="42" t="n">
        <x:f>((B4-C4)/C4)*100</x:f>
        <x:v>-8.685714285714285</x:v>
      </x:c>
      <x:c r="F4" t="str">
        <x:f>IF(B4&gt;=C4,"Above Target",IF((C4-B4)&lt;=C4*15%,"Below Target - Watch","Below Target - Critical"))</x:f>
        <x:v>Below Target - Watch</x:v>
      </x:c>
      <x:c r="G4" s="44" t="str">
        <x:v>Yes</x:v>
      </x:c>
    </x:row>
    <x:row r="5">
      <x:c r="A5" t="str">
        <x:v>Italian</x:v>
      </x:c>
      <x:c r="B5" s="8" t="n">
        <x:f>'Pivot Table'!B5</x:f>
        <x:v>14735</x:v>
      </x:c>
      <x:c r="C5" s="8" t="n">
        <x:f>VLOOKUP(A5,'Cuisine Targets'!$A$2:$B$7,2,FALSE)</x:f>
        <x:v>10000</x:v>
      </x:c>
      <x:c r="D5" s="8" t="n">
        <x:f>C5-B5</x:f>
        <x:v>-4735</x:v>
      </x:c>
      <x:c r="E5" s="42" t="n">
        <x:f>((B5-C5)/C5)*100</x:f>
        <x:v>47.349999999999994</x:v>
      </x:c>
      <x:c r="F5" t="str">
        <x:f>IF(B5&gt;=C5,"Above Target",IF((C5-B5)&lt;=C5*15%,"Below Target - Watch","Below Target - Critical"))</x:f>
        <x:v>Above Target</x:v>
      </x:c>
      <x:c r="G5" s="44" t="str">
        <x:v>Yes</x:v>
      </x:c>
    </x:row>
    <x:row r="6">
      <x:c r="A6" t="str">
        <x:v>Fast Food</x:v>
      </x:c>
      <x:c r="B6" s="8" t="n">
        <x:f>'Pivot Table'!B6</x:f>
        <x:v>55123</x:v>
      </x:c>
      <x:c r="C6" s="8" t="n">
        <x:f>VLOOKUP(A6,'Cuisine Targets'!$A$2:$B$7,2,FALSE)</x:f>
        <x:v>60000</x:v>
      </x:c>
      <x:c r="D6" s="8" t="n">
        <x:f>C6-B6</x:f>
        <x:v>4877</x:v>
      </x:c>
      <x:c r="E6" s="42" t="n">
        <x:f>((B6-C6)/C6)*100</x:f>
        <x:v>-8.128333333333334</x:v>
      </x:c>
      <x:c r="F6" t="str">
        <x:f>IF(B6&gt;=C6,"Above Target",IF((C6-B6)&lt;=C6*15%,"Below Target - Watch","Below Target - Critical"))</x:f>
        <x:v>Below Target - Watch</x:v>
      </x:c>
      <x:c r="G6" s="44" t="str">
        <x:v>Yes</x:v>
      </x:c>
    </x:row>
    <x:row r="7">
      <x:c r="A7" t="str">
        <x:v>Desserts</x:v>
      </x:c>
      <x:c r="B7" s="8" t="n">
        <x:f>'Pivot Table'!B7</x:f>
        <x:v>19694</x:v>
      </x:c>
      <x:c r="C7" s="8" t="n">
        <x:f>VLOOKUP(A7,'Cuisine Targets'!$A$2:$B$7,2,FALSE)</x:f>
        <x:v>25000</x:v>
      </x:c>
      <x:c r="D7" s="8" t="n">
        <x:f>C7-B7</x:f>
        <x:v>5306</x:v>
      </x:c>
      <x:c r="E7" s="42" t="n">
        <x:f>((B7-C7)/C7)*100</x:f>
        <x:v>-21.224</x:v>
      </x:c>
      <x:c r="F7" t="str">
        <x:f>IF(B7&gt;=C7,"Above Target",IF((C7-B7)&lt;=C7*15%,"Below Target - Watch","Below Target - Critical"))</x:f>
        <x:v>Below Target - Critical</x:v>
      </x:c>
      <x:c r="G7" s="44" t="str">
        <x:v>Yes</x:v>
      </x:c>
    </x:row>
  </x:sheetData>
  <x:conditionalFormatting sqref="F2:F7">
    <x:cfRule type="expression" dxfId="0" priority="1">
      <x:formula>F2="Above Target"</x:formula>
    </x:cfRule>
    <x:cfRule type="expression" dxfId="1" priority="2">
      <x:formula>F2="Below Target - Watch"</x:formula>
    </x:cfRule>
    <x:cfRule type="expression" dxfId="2" priority="3">
      <x:formula>F2="Below Target - 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e8c8269c8a4f7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6" t="str">
        <x:v>Workbook note</x:v>
      </x:c>
      <x:c r="B1" s="46" t="str">
        <x:v>Details</x:v>
      </x:c>
    </x:row>
    <x:row r="2">
      <x:c r="A2" s="47" t="str">
        <x:v>Source</x:v>
      </x:c>
      <x:c r="B2" s="47" t="str">
        <x:v>Monthly Data is the unmodified 34-row result exported from monthly_cuisine_revenue.csv.</x:v>
      </x:c>
    </x:row>
    <x:row r="3">
      <x:c r="A3" s="47" t="str">
        <x:v>Pivot</x:v>
      </x:c>
      <x:c r="B3" s="47" t="str">
        <x:v>Pivot Table reproduces the required Pivot Table aggregation using SUMIF formulas against Monthly Data (same row/column result).</x:v>
      </x:c>
    </x:row>
    <x:row r="4">
      <x:c r="A4" s="47" t="str">
        <x:v>Summary revenue</x:v>
      </x:c>
      <x:c r="B4" s="47" t="str">
        <x:v>Cuisine Summary total_revenue cells reference the Pivot Table output cells.</x:v>
      </x:c>
    </x:row>
    <x:row r="5">
      <x:c r="A5" s="47" t="str">
        <x:v>VLOOKUP</x:v>
      </x:c>
      <x:c r="B5" s="47" t="str">
        <x:v>Cuisine Summary uses exact-match VLOOKUP with absolute $A$2:$B$7 references.</x:v>
      </x:c>
    </x:row>
    <x:row r="6">
      <x:c r="A6" s="47" t="str">
        <x:v>Variance</x:v>
      </x:c>
      <x:c r="B6" s="47" t="str">
        <x:v>variance = target - total_revenue.</x:v>
      </x:c>
    </x:row>
    <x:row r="7">
      <x:c r="A7" s="47" t="str">
        <x:v>Percentage variance</x:v>
      </x:c>
      <x:c r="B7" s="47" t="str">
        <x:v>((total_revenue - target) / target) * 100.</x:v>
      </x:c>
    </x:row>
    <x:row r="8">
      <x:c r="A8" s="47" t="str">
        <x:v>Tag</x:v>
      </x:c>
      <x:c r="B8" s="47" t="str">
        <x:v>Nested IF applies Above Target / Below Target - Watch / Below Target - Critical.</x:v>
      </x:c>
    </x:row>
    <x:row r="9">
      <x:c r="A9" s="47" t="str">
        <x:v>Reconciliation</x:v>
      </x:c>
      <x:c r="B9" s="47" t="str">
        <x:v>Each cuisine is marked Yes after comparing against the independently executed SQL cuisine totals.</x:v>
      </x:c>
    </x:row>
    <x:row r="10">
      <x:c r="A10" s="47" t="str">
        <x:v>Tableau</x:v>
      </x:c>
      <x:c r="B10" s="47" t="str">
        <x:v>Connect Tableau Public directly to monthly_cuisine_revenue.csv; use the data story in README.md.</x:v>
      </x:c>
    </x:row>
  </x:sheetData>
  <x:pageMargins left="0.7" right="0.7" top="0.75" bottom="0.75" header="0.3" footer="0.3"/>
</x:worksheet>
</file>